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\"/>
    </mc:Choice>
  </mc:AlternateContent>
  <xr:revisionPtr revIDLastSave="0" documentId="13_ncr:1_{351DECE5-09AD-4CE0-B545-DFA87E8FEBE3}" xr6:coauthVersionLast="47" xr6:coauthVersionMax="47" xr10:uidLastSave="{00000000-0000-0000-0000-000000000000}"/>
  <bookViews>
    <workbookView xWindow="-120" yWindow="-120" windowWidth="29040" windowHeight="15840" activeTab="2" xr2:uid="{69BF5FE6-7092-4DD0-9C9D-6157ED454C19}"/>
  </bookViews>
  <sheets>
    <sheet name="DashBoard" sheetId="1" r:id="rId1"/>
    <sheet name="Sign_Out_Log" sheetId="5" r:id="rId2"/>
    <sheet name="Tool_Checkout" sheetId="3" r:id="rId3"/>
    <sheet name="Crimpers" sheetId="4" r:id="rId4"/>
    <sheet name="Strippers" sheetId="2" r:id="rId5"/>
  </sheets>
  <definedNames>
    <definedName name="_xlnm._FilterDatabase" localSheetId="3" hidden="1">Crimpers!$E$10:$S$100</definedName>
    <definedName name="_xlnm._FilterDatabase" localSheetId="4" hidden="1">Strippers!$E$10:$S$100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3" l="1"/>
  <c r="G10" i="3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I13" i="4"/>
  <c r="I14" i="4"/>
  <c r="I15" i="4"/>
  <c r="I16" i="4"/>
  <c r="I12" i="4"/>
  <c r="I11" i="4"/>
  <c r="F5" i="4"/>
  <c r="J15" i="4" s="1"/>
  <c r="F5" i="2"/>
  <c r="J11" i="2" s="1"/>
  <c r="I12" i="2"/>
  <c r="I13" i="2"/>
  <c r="I14" i="2"/>
  <c r="I15" i="2"/>
  <c r="I11" i="2"/>
  <c r="J14" i="4" l="1"/>
  <c r="J13" i="4"/>
  <c r="J12" i="4"/>
  <c r="J16" i="4"/>
  <c r="J11" i="4"/>
  <c r="J12" i="2"/>
  <c r="J15" i="2"/>
  <c r="J14" i="2"/>
  <c r="J13" i="2"/>
  <c r="N5" i="2" l="1"/>
  <c r="N5" i="4"/>
</calcChain>
</file>

<file path=xl/sharedStrings.xml><?xml version="1.0" encoding="utf-8"?>
<sst xmlns="http://schemas.openxmlformats.org/spreadsheetml/2006/main" count="71" uniqueCount="35">
  <si>
    <t>Part #</t>
  </si>
  <si>
    <t>Description</t>
  </si>
  <si>
    <t>Location</t>
  </si>
  <si>
    <t>Date Calibrated</t>
  </si>
  <si>
    <t>Next Calibration Date</t>
  </si>
  <si>
    <t>A1</t>
  </si>
  <si>
    <t>A2</t>
  </si>
  <si>
    <t>Stripper</t>
  </si>
  <si>
    <t>Crimper</t>
  </si>
  <si>
    <t>B1</t>
  </si>
  <si>
    <t>B2</t>
  </si>
  <si>
    <t>Calibration Past Due</t>
  </si>
  <si>
    <t>Yearly</t>
  </si>
  <si>
    <t>S-100-1</t>
  </si>
  <si>
    <t>S-100-2</t>
  </si>
  <si>
    <t>S-100-3</t>
  </si>
  <si>
    <t>S-101-1</t>
  </si>
  <si>
    <t>S-101-2</t>
  </si>
  <si>
    <t>C-100-2</t>
  </si>
  <si>
    <t>Total Parts Due for Calibration</t>
  </si>
  <si>
    <t>Status</t>
  </si>
  <si>
    <t>Today's Date</t>
  </si>
  <si>
    <t>C-100-3</t>
  </si>
  <si>
    <t>C-100-4</t>
  </si>
  <si>
    <t>C-100-5</t>
  </si>
  <si>
    <t>C-100-6</t>
  </si>
  <si>
    <t>B3</t>
  </si>
  <si>
    <t>Tools Currently In Use</t>
  </si>
  <si>
    <t>Updated By "Tool Checkout Engine"</t>
  </si>
  <si>
    <t>Tool Checkout Engine</t>
  </si>
  <si>
    <t>C-100-1</t>
  </si>
  <si>
    <t>Part Number</t>
  </si>
  <si>
    <t>Initial</t>
  </si>
  <si>
    <t>initial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</si>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</sst>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0.79998168889431442"/>
      <name val="Arial Rounded MT Bold"/>
      <family val="2"/>
    </font>
    <font>
      <sz val="14"/>
      <color theme="0"/>
      <name val="Arial Rounded MT Bold"/>
      <family val="2"/>
    </font>
    <font>
      <b/>
      <sz val="14"/>
      <name val="Bahnschrift SemiBold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0" xfId="0" applyFill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6" borderId="0" xfId="0" applyFont="1" applyFill="1" applyAlignment="1">
      <alignment wrapText="1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9" xfId="0" applyFill="1" applyBorder="1"/>
    <xf numFmtId="0" fontId="0" fillId="9" borderId="0" xfId="0" applyFill="1"/>
    <xf numFmtId="0" fontId="0" fillId="11" borderId="2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4" borderId="10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10" borderId="1" xfId="0" applyFill="1" applyBorder="1"/>
    <xf numFmtId="0" fontId="5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wrapText="1"/>
    </xf>
    <xf numFmtId="0" fontId="4" fillId="6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Alignment="1">
      <alignment horizontal="center" wrapText="1"/>
    </xf>
    <xf numFmtId="0" fontId="0" fillId="4" borderId="10" xfId="0" applyFill="1" applyBorder="1" applyAlignment="1"/>
    <xf numFmtId="0" fontId="1" fillId="6" borderId="0" xfId="0" applyFont="1" applyFill="1" applyAlignment="1">
      <alignment horizontal="center"/>
    </xf>
    <xf numFmtId="14" fontId="0" fillId="4" borderId="10" xfId="0" applyNumberFormat="1" applyFill="1" applyBorder="1"/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21</xdr:row>
      <xdr:rowOff>180975</xdr:rowOff>
    </xdr:from>
    <xdr:to>
      <xdr:col>17</xdr:col>
      <xdr:colOff>295275</xdr:colOff>
      <xdr:row>36</xdr:row>
      <xdr:rowOff>123824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72371B-DCB5-63FA-1BEE-89465A6225D9}"/>
            </a:ext>
          </a:extLst>
        </xdr:cNvPr>
        <xdr:cNvSpPr/>
      </xdr:nvSpPr>
      <xdr:spPr>
        <a:xfrm>
          <a:off x="142875" y="4181475"/>
          <a:ext cx="10515600" cy="2800349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466725</xdr:colOff>
      <xdr:row>22</xdr:row>
      <xdr:rowOff>38099</xdr:rowOff>
    </xdr:from>
    <xdr:to>
      <xdr:col>29</xdr:col>
      <xdr:colOff>19050</xdr:colOff>
      <xdr:row>36</xdr:row>
      <xdr:rowOff>142874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8A751A9-4D46-4AF3-915F-91F305C931EE}"/>
            </a:ext>
          </a:extLst>
        </xdr:cNvPr>
        <xdr:cNvSpPr/>
      </xdr:nvSpPr>
      <xdr:spPr>
        <a:xfrm>
          <a:off x="10829925" y="4229099"/>
          <a:ext cx="6867525" cy="277177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0</xdr:row>
      <xdr:rowOff>0</xdr:rowOff>
    </xdr:from>
    <xdr:to>
      <xdr:col>11</xdr:col>
      <xdr:colOff>180975</xdr:colOff>
      <xdr:row>5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FF32FC-95CF-C0EC-571E-ABBD2074B380}"/>
            </a:ext>
          </a:extLst>
        </xdr:cNvPr>
        <xdr:cNvSpPr/>
      </xdr:nvSpPr>
      <xdr:spPr>
        <a:xfrm>
          <a:off x="4038600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180975</xdr:colOff>
      <xdr:row>0</xdr:row>
      <xdr:rowOff>0</xdr:rowOff>
    </xdr:from>
    <xdr:to>
      <xdr:col>15</xdr:col>
      <xdr:colOff>590550</xdr:colOff>
      <xdr:row>5</xdr:row>
      <xdr:rowOff>123825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95761EE-49D7-4CD6-91E7-0A9775BE5E49}"/>
            </a:ext>
          </a:extLst>
        </xdr:cNvPr>
        <xdr:cNvSpPr/>
      </xdr:nvSpPr>
      <xdr:spPr>
        <a:xfrm>
          <a:off x="6886575" y="0"/>
          <a:ext cx="2847975" cy="10763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581025</xdr:colOff>
      <xdr:row>0</xdr:row>
      <xdr:rowOff>0</xdr:rowOff>
    </xdr:from>
    <xdr:to>
      <xdr:col>20</xdr:col>
      <xdr:colOff>381000</xdr:colOff>
      <xdr:row>5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6B13412-DC9A-4058-8F31-454FABF2ACCF}"/>
            </a:ext>
          </a:extLst>
        </xdr:cNvPr>
        <xdr:cNvSpPr/>
      </xdr:nvSpPr>
      <xdr:spPr>
        <a:xfrm>
          <a:off x="9725025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152401</xdr:colOff>
      <xdr:row>22</xdr:row>
      <xdr:rowOff>9525</xdr:rowOff>
    </xdr:from>
    <xdr:to>
      <xdr:col>17</xdr:col>
      <xdr:colOff>304801</xdr:colOff>
      <xdr:row>23</xdr:row>
      <xdr:rowOff>104775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272EF2-E6B2-28D0-8850-8B5584057323}"/>
            </a:ext>
          </a:extLst>
        </xdr:cNvPr>
        <xdr:cNvSpPr/>
      </xdr:nvSpPr>
      <xdr:spPr>
        <a:xfrm>
          <a:off x="152401" y="4200525"/>
          <a:ext cx="10515600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Profits</a:t>
          </a:r>
        </a:p>
      </xdr:txBody>
    </xdr:sp>
    <xdr:clientData/>
  </xdr:twoCellAnchor>
  <xdr:twoCellAnchor>
    <xdr:from>
      <xdr:col>17</xdr:col>
      <xdr:colOff>476249</xdr:colOff>
      <xdr:row>22</xdr:row>
      <xdr:rowOff>38100</xdr:rowOff>
    </xdr:from>
    <xdr:to>
      <xdr:col>29</xdr:col>
      <xdr:colOff>28574</xdr:colOff>
      <xdr:row>23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CE7F9A7-BCB4-4516-A813-2239A0E58F1D}"/>
            </a:ext>
          </a:extLst>
        </xdr:cNvPr>
        <xdr:cNvSpPr/>
      </xdr:nvSpPr>
      <xdr:spPr>
        <a:xfrm>
          <a:off x="10839449" y="4229100"/>
          <a:ext cx="6867525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3</xdr:row>
      <xdr:rowOff>104775</xdr:rowOff>
    </xdr:from>
    <xdr:to>
      <xdr:col>4</xdr:col>
      <xdr:colOff>552450</xdr:colOff>
      <xdr:row>5</xdr:row>
      <xdr:rowOff>66675</xdr:rowOff>
    </xdr:to>
    <xdr:sp macro="[0]!Sign_Out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E098647B-2C21-E468-87CC-EB9C6C7D8A26}"/>
            </a:ext>
          </a:extLst>
        </xdr:cNvPr>
        <xdr:cNvSpPr/>
      </xdr:nvSpPr>
      <xdr:spPr>
        <a:xfrm>
          <a:off x="2019300" y="676275"/>
          <a:ext cx="971550" cy="342900"/>
        </a:xfrm>
        <a:prstGeom prst="flowChartAlternateProcess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Add</a:t>
          </a:r>
        </a:p>
      </xdr:txBody>
    </xdr:sp>
    <xdr:clientData/>
  </xdr:twoCellAnchor>
  <xdr:twoCellAnchor>
    <xdr:from>
      <xdr:col>3</xdr:col>
      <xdr:colOff>200025</xdr:colOff>
      <xdr:row>8</xdr:row>
      <xdr:rowOff>85725</xdr:rowOff>
    </xdr:from>
    <xdr:to>
      <xdr:col>4</xdr:col>
      <xdr:colOff>561975</xdr:colOff>
      <xdr:row>10</xdr:row>
      <xdr:rowOff>47625</xdr:rowOff>
    </xdr:to>
    <xdr:sp macro="[0]!Remove_Tool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678180F5-95FA-4C3B-880F-04FB7664D2AE}"/>
            </a:ext>
          </a:extLst>
        </xdr:cNvPr>
        <xdr:cNvSpPr/>
      </xdr:nvSpPr>
      <xdr:spPr>
        <a:xfrm>
          <a:off x="2028825" y="2571750"/>
          <a:ext cx="971550" cy="590550"/>
        </a:xfrm>
        <a:prstGeom prst="flowChartAlternateProcess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Remove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0FC0-F385-4B4B-9E02-7EB2B1BCB4F1}">
  <sheetPr codeName="Sheet2"/>
  <dimension ref="A1:AD1"/>
  <sheetViews>
    <sheetView workbookViewId="0">
      <selection activeCell="A22" sqref="A22"/>
    </sheetView>
  </sheetViews>
  <sheetFormatPr defaultRowHeight="15" x14ac:dyDescent="0.25"/>
  <cols>
    <col min="1" max="30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099C-78FD-42D5-949B-AB8FB1EB80DA}">
  <dimension ref="A1"/>
  <sheetViews>
    <sheetView workbookViewId="0">
      <selection activeCell="E10" sqref="E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2907-A8B1-4CCB-A70E-2061E24B72FF}">
  <sheetPr codeName="Sheet1"/>
  <dimension ref="A1:AC47"/>
  <sheetViews>
    <sheetView tabSelected="1" workbookViewId="0">
      <selection activeCell="H5" sqref="H5"/>
    </sheetView>
  </sheetViews>
  <sheetFormatPr defaultRowHeight="15" x14ac:dyDescent="0.25"/>
  <cols>
    <col min="6" max="6" width="17.42578125" customWidth="1"/>
    <col min="7" max="7" width="10.7109375" bestFit="1" customWidth="1"/>
    <col min="17" max="17" width="3.28515625" customWidth="1"/>
    <col min="29" max="29" width="2.85546875" customWidth="1"/>
  </cols>
  <sheetData>
    <row r="1" spans="1:29" x14ac:dyDescent="0.25">
      <c r="A1" s="15"/>
      <c r="B1" s="15"/>
      <c r="C1" s="15"/>
      <c r="D1" s="15"/>
      <c r="E1" s="15"/>
      <c r="F1" s="15"/>
      <c r="G1" s="15"/>
      <c r="H1" s="15"/>
      <c r="I1" s="15"/>
      <c r="J1" s="40" t="s">
        <v>29</v>
      </c>
      <c r="K1" s="40"/>
      <c r="L1" s="40"/>
      <c r="M1" s="40"/>
      <c r="Q1" s="23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4"/>
    </row>
    <row r="2" spans="1:29" ht="29.2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40"/>
      <c r="K2" s="40"/>
      <c r="L2" s="40"/>
      <c r="M2" s="40"/>
      <c r="Q2" s="23"/>
      <c r="R2" s="38" t="s">
        <v>27</v>
      </c>
      <c r="S2" s="38"/>
      <c r="T2" s="38"/>
      <c r="U2" s="38"/>
      <c r="V2" s="38"/>
      <c r="W2" s="38"/>
      <c r="X2" s="37"/>
      <c r="Y2" s="37"/>
      <c r="Z2" s="39" t="s">
        <v>28</v>
      </c>
      <c r="AA2" s="39"/>
      <c r="AB2" s="39"/>
      <c r="AC2" s="24"/>
    </row>
    <row r="3" spans="1:29" ht="21.75" customHeight="1" x14ac:dyDescent="0.25">
      <c r="A3" s="15"/>
      <c r="B3" s="15"/>
      <c r="C3" s="15"/>
      <c r="D3" s="15"/>
      <c r="E3" s="15"/>
      <c r="F3" s="22"/>
      <c r="G3" s="22"/>
      <c r="H3" s="15"/>
      <c r="I3" s="15"/>
      <c r="J3" s="15"/>
      <c r="K3" s="15"/>
      <c r="L3" s="15"/>
      <c r="M3" s="15"/>
      <c r="Q3" s="23"/>
      <c r="R3" s="36">
        <v>1</v>
      </c>
      <c r="S3" s="32" t="s">
        <v>22</v>
      </c>
      <c r="T3" s="33" t="s">
        <v>8</v>
      </c>
      <c r="U3" s="33" t="s">
        <v>10</v>
      </c>
      <c r="V3" s="33"/>
      <c r="W3" s="33"/>
      <c r="X3" s="33"/>
      <c r="Y3" s="33"/>
      <c r="Z3" s="33"/>
      <c r="AA3" s="33"/>
      <c r="AB3" s="33"/>
      <c r="AC3" s="24"/>
    </row>
    <row r="4" spans="1:29" ht="31.5" customHeight="1" x14ac:dyDescent="0.25">
      <c r="A4" s="15"/>
      <c r="B4" s="15"/>
      <c r="C4" s="15"/>
      <c r="D4" s="15"/>
      <c r="E4" s="15"/>
      <c r="F4" s="44" t="s">
        <v>31</v>
      </c>
      <c r="G4" s="44" t="s">
        <v>34</v>
      </c>
      <c r="H4" s="44" t="s">
        <v>32</v>
      </c>
      <c r="I4" s="15"/>
      <c r="J4" s="15"/>
      <c r="K4" s="15"/>
      <c r="L4" s="15"/>
      <c r="M4" s="15"/>
      <c r="Q4" s="23"/>
      <c r="R4" s="31">
        <f>R3+1</f>
        <v>2</v>
      </c>
      <c r="S4" s="34" t="s">
        <v>18</v>
      </c>
      <c r="T4" s="35" t="s">
        <v>8</v>
      </c>
      <c r="U4" s="35" t="s">
        <v>10</v>
      </c>
      <c r="V4" s="35"/>
      <c r="W4" s="35"/>
      <c r="X4" s="35"/>
      <c r="Y4" s="35"/>
      <c r="Z4" s="35"/>
      <c r="AA4" s="35"/>
      <c r="AB4" s="35"/>
      <c r="AC4" s="24"/>
    </row>
    <row r="5" spans="1:29" ht="24.95" customHeight="1" x14ac:dyDescent="0.25">
      <c r="A5" s="15"/>
      <c r="B5" s="15"/>
      <c r="C5" s="15"/>
      <c r="D5" s="15"/>
      <c r="E5" s="15"/>
      <c r="F5" s="48"/>
      <c r="G5" s="49">
        <f ca="1">TODAY()</f>
        <v>46317</v>
      </c>
      <c r="H5" s="48"/>
      <c r="I5" s="15"/>
      <c r="J5" s="15"/>
      <c r="K5" s="15"/>
      <c r="L5" s="15"/>
      <c r="M5" s="15"/>
      <c r="Q5" s="23"/>
      <c r="R5" s="31">
        <f t="shared" ref="R5:R46" si="0">R4+1</f>
        <v>3</v>
      </c>
      <c r="S5" s="34" t="s">
        <v>16</v>
      </c>
      <c r="T5" s="35" t="s">
        <v>7</v>
      </c>
      <c r="U5" s="35" t="s">
        <v>6</v>
      </c>
      <c r="V5" s="35"/>
      <c r="W5" s="35"/>
      <c r="X5" s="35"/>
      <c r="Y5" s="35"/>
      <c r="Z5" s="35"/>
      <c r="AA5" s="35"/>
      <c r="AB5" s="35"/>
      <c r="AC5" s="24"/>
    </row>
    <row r="6" spans="1:29" ht="24.9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Q6" s="23"/>
      <c r="R6" s="31">
        <f t="shared" si="0"/>
        <v>4</v>
      </c>
      <c r="S6" s="34"/>
      <c r="T6" s="35"/>
      <c r="U6" s="35"/>
      <c r="V6" s="35"/>
      <c r="W6" s="35"/>
      <c r="X6" s="35"/>
      <c r="Y6" s="35"/>
      <c r="Z6" s="35"/>
      <c r="AA6" s="35"/>
      <c r="AB6" s="35"/>
      <c r="AC6" s="24"/>
    </row>
    <row r="7" spans="1:29" ht="24.9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Q7" s="23"/>
      <c r="R7" s="31">
        <f t="shared" si="0"/>
        <v>5</v>
      </c>
      <c r="S7" s="34"/>
      <c r="T7" s="35"/>
      <c r="U7" s="35"/>
      <c r="V7" s="35"/>
      <c r="W7" s="35"/>
      <c r="X7" s="35"/>
      <c r="Y7" s="35"/>
      <c r="Z7" s="35"/>
      <c r="AA7" s="35"/>
      <c r="AB7" s="35"/>
      <c r="AC7" s="24"/>
    </row>
    <row r="8" spans="1:29" ht="30.75" customHeight="1" x14ac:dyDescent="0.25">
      <c r="A8" s="15"/>
      <c r="B8" s="15"/>
      <c r="C8" s="15"/>
      <c r="D8" s="15"/>
      <c r="E8" s="15"/>
      <c r="F8" s="22"/>
      <c r="G8" s="15"/>
      <c r="H8" s="15"/>
      <c r="I8" s="15"/>
      <c r="J8" s="15"/>
      <c r="K8" s="15"/>
      <c r="L8" s="15"/>
      <c r="M8" s="15"/>
      <c r="Q8" s="23"/>
      <c r="R8" s="31">
        <f t="shared" si="0"/>
        <v>6</v>
      </c>
      <c r="S8" s="34"/>
      <c r="T8" s="35"/>
      <c r="U8" s="35"/>
      <c r="V8" s="35"/>
      <c r="W8" s="35"/>
      <c r="X8" s="35"/>
      <c r="Y8" s="35"/>
      <c r="Z8" s="35"/>
      <c r="AA8" s="35"/>
      <c r="AB8" s="35"/>
      <c r="AC8" s="24"/>
    </row>
    <row r="9" spans="1:29" ht="24.95" customHeight="1" x14ac:dyDescent="0.25">
      <c r="A9" s="15"/>
      <c r="B9" s="15"/>
      <c r="C9" s="15"/>
      <c r="D9" s="15"/>
      <c r="E9" s="15"/>
      <c r="F9" s="44" t="s">
        <v>31</v>
      </c>
      <c r="G9" s="46" t="s">
        <v>34</v>
      </c>
      <c r="H9" s="44" t="s">
        <v>33</v>
      </c>
      <c r="I9" s="15"/>
      <c r="J9" s="15"/>
      <c r="K9" s="15"/>
      <c r="L9" s="15"/>
      <c r="M9" s="15"/>
      <c r="Q9" s="23"/>
      <c r="R9" s="31">
        <f t="shared" si="0"/>
        <v>7</v>
      </c>
      <c r="S9" s="34"/>
      <c r="T9" s="35"/>
      <c r="U9" s="35"/>
      <c r="V9" s="35"/>
      <c r="W9" s="35"/>
      <c r="X9" s="35"/>
      <c r="Y9" s="35"/>
      <c r="Z9" s="35"/>
      <c r="AA9" s="35"/>
      <c r="AB9" s="35"/>
      <c r="AC9" s="24"/>
    </row>
    <row r="10" spans="1:29" ht="24.95" customHeight="1" x14ac:dyDescent="0.25">
      <c r="A10" s="15"/>
      <c r="B10" s="15"/>
      <c r="C10" s="15"/>
      <c r="D10" s="15"/>
      <c r="E10" s="15"/>
      <c r="F10" s="31"/>
      <c r="G10" s="47">
        <f ca="1">TODAY()</f>
        <v>46317</v>
      </c>
      <c r="H10" s="45"/>
      <c r="I10" s="15"/>
      <c r="J10" s="15"/>
      <c r="K10" s="15"/>
      <c r="L10" s="15"/>
      <c r="M10" s="15"/>
      <c r="Q10" s="23"/>
      <c r="R10" s="31">
        <f t="shared" si="0"/>
        <v>8</v>
      </c>
      <c r="S10" s="34"/>
      <c r="T10" s="35"/>
      <c r="U10" s="35"/>
      <c r="V10" s="35"/>
      <c r="W10" s="35"/>
      <c r="X10" s="35"/>
      <c r="Y10" s="35"/>
      <c r="Z10" s="35"/>
      <c r="AA10" s="35"/>
      <c r="AB10" s="35"/>
      <c r="AC10" s="24"/>
    </row>
    <row r="11" spans="1:29" ht="24.95" customHeigh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Q11" s="23"/>
      <c r="R11" s="31">
        <f t="shared" si="0"/>
        <v>9</v>
      </c>
      <c r="S11" s="34"/>
      <c r="T11" s="35"/>
      <c r="U11" s="35"/>
      <c r="V11" s="35"/>
      <c r="W11" s="35"/>
      <c r="X11" s="35"/>
      <c r="Y11" s="35"/>
      <c r="Z11" s="35"/>
      <c r="AA11" s="35"/>
      <c r="AB11" s="35"/>
      <c r="AC11" s="24"/>
    </row>
    <row r="12" spans="1:29" ht="24.95" customHeigh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Q12" s="23"/>
      <c r="R12" s="31">
        <f t="shared" si="0"/>
        <v>10</v>
      </c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24"/>
    </row>
    <row r="13" spans="1:29" ht="24.95" customHeigh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Q13" s="23"/>
      <c r="R13" s="31">
        <f t="shared" si="0"/>
        <v>11</v>
      </c>
      <c r="S13" s="34"/>
      <c r="T13" s="35"/>
      <c r="U13" s="35"/>
      <c r="V13" s="35"/>
      <c r="W13" s="35"/>
      <c r="X13" s="35"/>
      <c r="Y13" s="35"/>
      <c r="Z13" s="35"/>
      <c r="AA13" s="35"/>
      <c r="AB13" s="35"/>
      <c r="AC13" s="24"/>
    </row>
    <row r="14" spans="1:29" ht="24.95" customHeigh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Q14" s="23"/>
      <c r="R14" s="31">
        <f t="shared" si="0"/>
        <v>12</v>
      </c>
      <c r="S14" s="34"/>
      <c r="T14" s="35"/>
      <c r="U14" s="35"/>
      <c r="V14" s="35"/>
      <c r="W14" s="35"/>
      <c r="X14" s="35"/>
      <c r="Y14" s="35"/>
      <c r="Z14" s="35"/>
      <c r="AA14" s="35"/>
      <c r="AB14" s="35"/>
      <c r="AC14" s="24"/>
    </row>
    <row r="15" spans="1:29" ht="24.95" customHeigh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Q15" s="23"/>
      <c r="R15" s="31">
        <f t="shared" si="0"/>
        <v>13</v>
      </c>
      <c r="S15" s="34"/>
      <c r="T15" s="35"/>
      <c r="U15" s="35"/>
      <c r="V15" s="35"/>
      <c r="W15" s="35"/>
      <c r="X15" s="35"/>
      <c r="Y15" s="35"/>
      <c r="Z15" s="35"/>
      <c r="AA15" s="35"/>
      <c r="AB15" s="35"/>
      <c r="AC15" s="24"/>
    </row>
    <row r="16" spans="1:29" ht="24.95" customHeigh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Q16" s="23"/>
      <c r="R16" s="31">
        <f t="shared" si="0"/>
        <v>14</v>
      </c>
      <c r="S16" s="34"/>
      <c r="T16" s="35"/>
      <c r="U16" s="35"/>
      <c r="V16" s="35"/>
      <c r="W16" s="35"/>
      <c r="X16" s="35"/>
      <c r="Y16" s="35"/>
      <c r="Z16" s="35"/>
      <c r="AA16" s="35"/>
      <c r="AB16" s="35"/>
      <c r="AC16" s="24"/>
    </row>
    <row r="17" spans="1:29" ht="24.95" customHeigh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Q17" s="23"/>
      <c r="R17" s="31">
        <f t="shared" si="0"/>
        <v>15</v>
      </c>
      <c r="S17" s="34"/>
      <c r="T17" s="35"/>
      <c r="U17" s="35"/>
      <c r="V17" s="35"/>
      <c r="W17" s="35"/>
      <c r="X17" s="35"/>
      <c r="Y17" s="35"/>
      <c r="Z17" s="35"/>
      <c r="AA17" s="35"/>
      <c r="AB17" s="35"/>
      <c r="AC17" s="24"/>
    </row>
    <row r="18" spans="1:29" ht="24.95" customHeigh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Q18" s="23"/>
      <c r="R18" s="31">
        <f t="shared" si="0"/>
        <v>16</v>
      </c>
      <c r="S18" s="34"/>
      <c r="T18" s="35"/>
      <c r="U18" s="35"/>
      <c r="V18" s="35"/>
      <c r="W18" s="35"/>
      <c r="X18" s="35"/>
      <c r="Y18" s="35"/>
      <c r="Z18" s="35"/>
      <c r="AA18" s="35"/>
      <c r="AB18" s="35"/>
      <c r="AC18" s="24"/>
    </row>
    <row r="19" spans="1:29" ht="24.95" customHeigh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Q19" s="23"/>
      <c r="R19" s="31">
        <f t="shared" si="0"/>
        <v>17</v>
      </c>
      <c r="S19" s="34"/>
      <c r="T19" s="35"/>
      <c r="U19" s="35"/>
      <c r="V19" s="35"/>
      <c r="W19" s="35"/>
      <c r="X19" s="35"/>
      <c r="Y19" s="35"/>
      <c r="Z19" s="35"/>
      <c r="AA19" s="35"/>
      <c r="AB19" s="35"/>
      <c r="AC19" s="24"/>
    </row>
    <row r="20" spans="1:29" ht="24.9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Q20" s="23"/>
      <c r="R20" s="31">
        <f t="shared" si="0"/>
        <v>18</v>
      </c>
      <c r="S20" s="34"/>
      <c r="T20" s="35"/>
      <c r="U20" s="35"/>
      <c r="V20" s="35"/>
      <c r="W20" s="35"/>
      <c r="X20" s="35"/>
      <c r="Y20" s="35"/>
      <c r="Z20" s="35"/>
      <c r="AA20" s="35"/>
      <c r="AB20" s="35"/>
      <c r="AC20" s="24"/>
    </row>
    <row r="21" spans="1:29" ht="24.95" customHeight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Q21" s="23"/>
      <c r="R21" s="31">
        <f t="shared" si="0"/>
        <v>19</v>
      </c>
      <c r="S21" s="34"/>
      <c r="T21" s="35"/>
      <c r="U21" s="35"/>
      <c r="V21" s="35"/>
      <c r="W21" s="35"/>
      <c r="X21" s="35"/>
      <c r="Y21" s="35"/>
      <c r="Z21" s="35"/>
      <c r="AA21" s="35"/>
      <c r="AB21" s="35"/>
      <c r="AC21" s="24"/>
    </row>
    <row r="22" spans="1:29" ht="24.95" customHeight="1" x14ac:dyDescent="0.25">
      <c r="Q22" s="23"/>
      <c r="R22" s="31">
        <f t="shared" si="0"/>
        <v>20</v>
      </c>
      <c r="S22" s="34"/>
      <c r="T22" s="35"/>
      <c r="U22" s="35"/>
      <c r="V22" s="35"/>
      <c r="W22" s="35"/>
      <c r="X22" s="35"/>
      <c r="Y22" s="35"/>
      <c r="Z22" s="35"/>
      <c r="AA22" s="35"/>
      <c r="AB22" s="35"/>
      <c r="AC22" s="24"/>
    </row>
    <row r="23" spans="1:29" ht="24.95" customHeight="1" x14ac:dyDescent="0.25">
      <c r="Q23" s="23"/>
      <c r="R23" s="31">
        <f t="shared" si="0"/>
        <v>21</v>
      </c>
      <c r="S23" s="34"/>
      <c r="T23" s="35"/>
      <c r="U23" s="35"/>
      <c r="V23" s="35"/>
      <c r="W23" s="35"/>
      <c r="X23" s="35"/>
      <c r="Y23" s="35"/>
      <c r="Z23" s="35"/>
      <c r="AA23" s="35"/>
      <c r="AB23" s="35"/>
      <c r="AC23" s="24"/>
    </row>
    <row r="24" spans="1:29" ht="24.95" customHeight="1" x14ac:dyDescent="0.25">
      <c r="Q24" s="23"/>
      <c r="R24" s="31">
        <f t="shared" si="0"/>
        <v>22</v>
      </c>
      <c r="S24" s="34"/>
      <c r="T24" s="35"/>
      <c r="U24" s="35"/>
      <c r="V24" s="35"/>
      <c r="W24" s="35"/>
      <c r="X24" s="35"/>
      <c r="Y24" s="35"/>
      <c r="Z24" s="35"/>
      <c r="AA24" s="35"/>
      <c r="AB24" s="35"/>
      <c r="AC24" s="24"/>
    </row>
    <row r="25" spans="1:29" ht="24.95" customHeight="1" x14ac:dyDescent="0.25">
      <c r="Q25" s="23"/>
      <c r="R25" s="31">
        <f t="shared" si="0"/>
        <v>23</v>
      </c>
      <c r="S25" s="34"/>
      <c r="T25" s="35"/>
      <c r="U25" s="35"/>
      <c r="V25" s="35"/>
      <c r="W25" s="35"/>
      <c r="X25" s="35"/>
      <c r="Y25" s="35"/>
      <c r="Z25" s="35"/>
      <c r="AA25" s="35"/>
      <c r="AB25" s="35"/>
      <c r="AC25" s="24"/>
    </row>
    <row r="26" spans="1:29" ht="24.95" customHeight="1" x14ac:dyDescent="0.25">
      <c r="Q26" s="23"/>
      <c r="R26" s="31">
        <f t="shared" si="0"/>
        <v>24</v>
      </c>
      <c r="S26" s="34"/>
      <c r="T26" s="35"/>
      <c r="U26" s="35"/>
      <c r="V26" s="35"/>
      <c r="W26" s="35"/>
      <c r="X26" s="35"/>
      <c r="Y26" s="35"/>
      <c r="Z26" s="35"/>
      <c r="AA26" s="35"/>
      <c r="AB26" s="35"/>
      <c r="AC26" s="24"/>
    </row>
    <row r="27" spans="1:29" ht="24.95" customHeight="1" x14ac:dyDescent="0.25">
      <c r="Q27" s="23"/>
      <c r="R27" s="31">
        <f t="shared" si="0"/>
        <v>25</v>
      </c>
      <c r="S27" s="34"/>
      <c r="T27" s="35"/>
      <c r="U27" s="35"/>
      <c r="V27" s="35"/>
      <c r="W27" s="35"/>
      <c r="X27" s="35"/>
      <c r="Y27" s="35"/>
      <c r="Z27" s="35"/>
      <c r="AA27" s="35"/>
      <c r="AB27" s="35"/>
      <c r="AC27" s="24"/>
    </row>
    <row r="28" spans="1:29" ht="24.95" customHeight="1" x14ac:dyDescent="0.25">
      <c r="Q28" s="23"/>
      <c r="R28" s="31">
        <f t="shared" si="0"/>
        <v>26</v>
      </c>
      <c r="S28" s="34"/>
      <c r="T28" s="35"/>
      <c r="U28" s="35"/>
      <c r="V28" s="35"/>
      <c r="W28" s="35"/>
      <c r="X28" s="35"/>
      <c r="Y28" s="35"/>
      <c r="Z28" s="35"/>
      <c r="AA28" s="35"/>
      <c r="AB28" s="35"/>
      <c r="AC28" s="24"/>
    </row>
    <row r="29" spans="1:29" ht="24.95" customHeight="1" x14ac:dyDescent="0.25">
      <c r="Q29" s="23"/>
      <c r="R29" s="31">
        <f t="shared" si="0"/>
        <v>27</v>
      </c>
      <c r="S29" s="34"/>
      <c r="T29" s="35"/>
      <c r="U29" s="35"/>
      <c r="V29" s="35"/>
      <c r="W29" s="35"/>
      <c r="X29" s="35"/>
      <c r="Y29" s="35"/>
      <c r="Z29" s="35"/>
      <c r="AA29" s="35"/>
      <c r="AB29" s="35"/>
      <c r="AC29" s="24"/>
    </row>
    <row r="30" spans="1:29" ht="24.95" customHeight="1" x14ac:dyDescent="0.25">
      <c r="Q30" s="23"/>
      <c r="R30" s="31">
        <f t="shared" si="0"/>
        <v>28</v>
      </c>
      <c r="S30" s="34"/>
      <c r="T30" s="35"/>
      <c r="U30" s="35"/>
      <c r="V30" s="35"/>
      <c r="W30" s="35"/>
      <c r="X30" s="35"/>
      <c r="Y30" s="35"/>
      <c r="Z30" s="35"/>
      <c r="AA30" s="35"/>
      <c r="AB30" s="35"/>
      <c r="AC30" s="24"/>
    </row>
    <row r="31" spans="1:29" ht="24.95" customHeight="1" x14ac:dyDescent="0.25">
      <c r="Q31" s="23"/>
      <c r="R31" s="31">
        <f t="shared" si="0"/>
        <v>29</v>
      </c>
      <c r="S31" s="34"/>
      <c r="T31" s="35"/>
      <c r="U31" s="35"/>
      <c r="V31" s="35"/>
      <c r="W31" s="35"/>
      <c r="X31" s="35"/>
      <c r="Y31" s="35"/>
      <c r="Z31" s="35"/>
      <c r="AA31" s="35"/>
      <c r="AB31" s="35"/>
      <c r="AC31" s="24"/>
    </row>
    <row r="32" spans="1:29" ht="24.95" customHeight="1" x14ac:dyDescent="0.25">
      <c r="Q32" s="23"/>
      <c r="R32" s="31">
        <f t="shared" si="0"/>
        <v>30</v>
      </c>
      <c r="S32" s="34"/>
      <c r="T32" s="35"/>
      <c r="U32" s="35"/>
      <c r="V32" s="35"/>
      <c r="W32" s="35"/>
      <c r="X32" s="35"/>
      <c r="Y32" s="35"/>
      <c r="Z32" s="35"/>
      <c r="AA32" s="35"/>
      <c r="AB32" s="35"/>
      <c r="AC32" s="24"/>
    </row>
    <row r="33" spans="17:29" ht="24.95" customHeight="1" x14ac:dyDescent="0.25">
      <c r="Q33" s="23"/>
      <c r="R33" s="31">
        <f t="shared" si="0"/>
        <v>31</v>
      </c>
      <c r="S33" s="34"/>
      <c r="T33" s="35"/>
      <c r="U33" s="35"/>
      <c r="V33" s="35"/>
      <c r="W33" s="35"/>
      <c r="X33" s="35"/>
      <c r="Y33" s="35"/>
      <c r="Z33" s="35"/>
      <c r="AA33" s="35"/>
      <c r="AB33" s="35"/>
      <c r="AC33" s="24"/>
    </row>
    <row r="34" spans="17:29" ht="24.95" customHeight="1" x14ac:dyDescent="0.25">
      <c r="Q34" s="23"/>
      <c r="R34" s="31">
        <f t="shared" si="0"/>
        <v>32</v>
      </c>
      <c r="S34" s="34"/>
      <c r="T34" s="35"/>
      <c r="U34" s="35"/>
      <c r="V34" s="35"/>
      <c r="W34" s="35"/>
      <c r="X34" s="35"/>
      <c r="Y34" s="35"/>
      <c r="Z34" s="35"/>
      <c r="AA34" s="35"/>
      <c r="AB34" s="35"/>
      <c r="AC34" s="24"/>
    </row>
    <row r="35" spans="17:29" ht="24.95" customHeight="1" x14ac:dyDescent="0.25">
      <c r="Q35" s="23"/>
      <c r="R35" s="31">
        <f t="shared" si="0"/>
        <v>33</v>
      </c>
      <c r="S35" s="34"/>
      <c r="T35" s="35"/>
      <c r="U35" s="35"/>
      <c r="V35" s="35"/>
      <c r="W35" s="35"/>
      <c r="X35" s="35"/>
      <c r="Y35" s="35"/>
      <c r="Z35" s="35"/>
      <c r="AA35" s="35"/>
      <c r="AB35" s="35"/>
      <c r="AC35" s="24"/>
    </row>
    <row r="36" spans="17:29" ht="24.95" customHeight="1" x14ac:dyDescent="0.25">
      <c r="Q36" s="23"/>
      <c r="R36" s="31">
        <f t="shared" si="0"/>
        <v>34</v>
      </c>
      <c r="S36" s="34"/>
      <c r="T36" s="35"/>
      <c r="U36" s="35"/>
      <c r="V36" s="35"/>
      <c r="W36" s="35"/>
      <c r="X36" s="35"/>
      <c r="Y36" s="35"/>
      <c r="Z36" s="35"/>
      <c r="AA36" s="35"/>
      <c r="AB36" s="35"/>
      <c r="AC36" s="24"/>
    </row>
    <row r="37" spans="17:29" ht="24.95" customHeight="1" x14ac:dyDescent="0.25">
      <c r="Q37" s="23"/>
      <c r="R37" s="31">
        <f t="shared" si="0"/>
        <v>35</v>
      </c>
      <c r="S37" s="34"/>
      <c r="T37" s="35"/>
      <c r="U37" s="35"/>
      <c r="V37" s="35"/>
      <c r="W37" s="35"/>
      <c r="X37" s="35"/>
      <c r="Y37" s="35"/>
      <c r="Z37" s="35"/>
      <c r="AA37" s="35"/>
      <c r="AB37" s="35"/>
      <c r="AC37" s="24"/>
    </row>
    <row r="38" spans="17:29" ht="24.95" customHeight="1" x14ac:dyDescent="0.25">
      <c r="Q38" s="23"/>
      <c r="R38" s="31">
        <f t="shared" si="0"/>
        <v>36</v>
      </c>
      <c r="S38" s="34"/>
      <c r="T38" s="35"/>
      <c r="U38" s="35"/>
      <c r="V38" s="35"/>
      <c r="W38" s="35"/>
      <c r="X38" s="35"/>
      <c r="Y38" s="35"/>
      <c r="Z38" s="35"/>
      <c r="AA38" s="35"/>
      <c r="AB38" s="35"/>
      <c r="AC38" s="24"/>
    </row>
    <row r="39" spans="17:29" ht="24.95" customHeight="1" x14ac:dyDescent="0.25">
      <c r="Q39" s="23"/>
      <c r="R39" s="31">
        <f t="shared" si="0"/>
        <v>37</v>
      </c>
      <c r="S39" s="34"/>
      <c r="T39" s="35"/>
      <c r="U39" s="35"/>
      <c r="V39" s="35"/>
      <c r="W39" s="35"/>
      <c r="X39" s="35"/>
      <c r="Y39" s="35"/>
      <c r="Z39" s="35"/>
      <c r="AA39" s="35"/>
      <c r="AB39" s="35"/>
      <c r="AC39" s="24"/>
    </row>
    <row r="40" spans="17:29" ht="24.95" customHeight="1" x14ac:dyDescent="0.25">
      <c r="Q40" s="23"/>
      <c r="R40" s="31">
        <f t="shared" si="0"/>
        <v>38</v>
      </c>
      <c r="S40" s="34"/>
      <c r="T40" s="35"/>
      <c r="U40" s="35"/>
      <c r="V40" s="35"/>
      <c r="W40" s="35"/>
      <c r="X40" s="35"/>
      <c r="Y40" s="35"/>
      <c r="Z40" s="35"/>
      <c r="AA40" s="35"/>
      <c r="AB40" s="35"/>
      <c r="AC40" s="24"/>
    </row>
    <row r="41" spans="17:29" ht="24.95" customHeight="1" x14ac:dyDescent="0.25">
      <c r="Q41" s="23"/>
      <c r="R41" s="31">
        <f t="shared" si="0"/>
        <v>39</v>
      </c>
      <c r="S41" s="34"/>
      <c r="T41" s="35"/>
      <c r="U41" s="35"/>
      <c r="V41" s="35"/>
      <c r="W41" s="35"/>
      <c r="X41" s="35"/>
      <c r="Y41" s="35"/>
      <c r="Z41" s="35"/>
      <c r="AA41" s="35"/>
      <c r="AB41" s="35"/>
      <c r="AC41" s="24"/>
    </row>
    <row r="42" spans="17:29" ht="24.95" customHeight="1" x14ac:dyDescent="0.25">
      <c r="Q42" s="23"/>
      <c r="R42" s="31">
        <f t="shared" si="0"/>
        <v>40</v>
      </c>
      <c r="S42" s="34"/>
      <c r="T42" s="35"/>
      <c r="U42" s="35"/>
      <c r="V42" s="35"/>
      <c r="W42" s="35"/>
      <c r="X42" s="35"/>
      <c r="Y42" s="35"/>
      <c r="Z42" s="35"/>
      <c r="AA42" s="35"/>
      <c r="AB42" s="35"/>
      <c r="AC42" s="24"/>
    </row>
    <row r="43" spans="17:29" ht="24.95" customHeight="1" x14ac:dyDescent="0.25">
      <c r="Q43" s="23"/>
      <c r="R43" s="31">
        <f t="shared" si="0"/>
        <v>41</v>
      </c>
      <c r="S43" s="34"/>
      <c r="T43" s="35"/>
      <c r="U43" s="35"/>
      <c r="V43" s="35"/>
      <c r="W43" s="35"/>
      <c r="X43" s="35"/>
      <c r="Y43" s="35"/>
      <c r="Z43" s="35"/>
      <c r="AA43" s="35"/>
      <c r="AB43" s="35"/>
      <c r="AC43" s="24"/>
    </row>
    <row r="44" spans="17:29" ht="24.95" customHeight="1" x14ac:dyDescent="0.25">
      <c r="Q44" s="23"/>
      <c r="R44" s="31">
        <f t="shared" si="0"/>
        <v>42</v>
      </c>
      <c r="S44" s="34"/>
      <c r="T44" s="35"/>
      <c r="U44" s="35"/>
      <c r="V44" s="35"/>
      <c r="W44" s="35"/>
      <c r="X44" s="35"/>
      <c r="Y44" s="35"/>
      <c r="Z44" s="35"/>
      <c r="AA44" s="35"/>
      <c r="AB44" s="35"/>
      <c r="AC44" s="24"/>
    </row>
    <row r="45" spans="17:29" ht="24.95" customHeight="1" x14ac:dyDescent="0.25">
      <c r="Q45" s="23"/>
      <c r="R45" s="31">
        <f t="shared" si="0"/>
        <v>43</v>
      </c>
      <c r="S45" s="34"/>
      <c r="T45" s="35"/>
      <c r="U45" s="35"/>
      <c r="V45" s="35"/>
      <c r="W45" s="35"/>
      <c r="X45" s="35"/>
      <c r="Y45" s="35"/>
      <c r="Z45" s="35"/>
      <c r="AA45" s="35"/>
      <c r="AB45" s="35"/>
      <c r="AC45" s="24"/>
    </row>
    <row r="46" spans="17:29" ht="24.95" customHeight="1" x14ac:dyDescent="0.25">
      <c r="Q46" s="23"/>
      <c r="R46" s="31">
        <f t="shared" si="0"/>
        <v>44</v>
      </c>
      <c r="S46" s="34"/>
      <c r="T46" s="35"/>
      <c r="U46" s="35"/>
      <c r="V46" s="35"/>
      <c r="W46" s="35"/>
      <c r="X46" s="35"/>
      <c r="Y46" s="35"/>
      <c r="Z46" s="35"/>
      <c r="AA46" s="35"/>
      <c r="AB46" s="35"/>
      <c r="AC46" s="24"/>
    </row>
    <row r="47" spans="17:29" x14ac:dyDescent="0.25">
      <c r="Q47" s="25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7"/>
    </row>
  </sheetData>
  <mergeCells count="3">
    <mergeCell ref="R2:W2"/>
    <mergeCell ref="Z2:AB2"/>
    <mergeCell ref="J1:M2"/>
  </mergeCells>
  <conditionalFormatting sqref="F5:H5">
    <cfRule type="expression" dxfId="1" priority="1">
      <formula>MOD(ROW(),2)=0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00BA7-B8CB-4D9C-B9DE-E6045E6C44E9}">
  <sheetPr codeName="Sheet4"/>
  <dimension ref="E4:S226"/>
  <sheetViews>
    <sheetView workbookViewId="0">
      <selection activeCell="F5" sqref="F5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41" t="s">
        <v>11</v>
      </c>
      <c r="I4" s="41"/>
      <c r="J4" s="41"/>
      <c r="K4" s="8" t="s">
        <v>12</v>
      </c>
      <c r="N4" s="42" t="s">
        <v>19</v>
      </c>
      <c r="O4" s="42"/>
      <c r="P4" s="42"/>
    </row>
    <row r="5" spans="5:19" x14ac:dyDescent="0.25">
      <c r="F5" s="3">
        <f ca="1">TODAY()</f>
        <v>46317</v>
      </c>
      <c r="H5"/>
      <c r="I5"/>
      <c r="J5" s="4"/>
      <c r="K5"/>
      <c r="N5" s="43">
        <f ca="1">COUNTIF(H:J, "Due")</f>
        <v>6</v>
      </c>
      <c r="O5" s="43"/>
      <c r="P5" s="43"/>
    </row>
    <row r="7" spans="5:19" x14ac:dyDescent="0.25">
      <c r="Q7" s="7"/>
    </row>
    <row r="9" spans="5:19" x14ac:dyDescent="0.25">
      <c r="F9" s="6"/>
    </row>
    <row r="10" spans="5:19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30</v>
      </c>
      <c r="F11" s="16" t="s">
        <v>8</v>
      </c>
      <c r="G11" s="16" t="s">
        <v>9</v>
      </c>
      <c r="H11" s="17">
        <v>38110</v>
      </c>
      <c r="I11" s="17">
        <f>H11+366</f>
        <v>38476</v>
      </c>
      <c r="J11" s="19" t="str">
        <f ca="1">IF($F$5 &gt; I11,"Due", "")</f>
        <v>Due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16" t="s">
        <v>18</v>
      </c>
      <c r="F12" s="16" t="s">
        <v>8</v>
      </c>
      <c r="G12" s="16" t="s">
        <v>10</v>
      </c>
      <c r="H12" s="17">
        <v>45453</v>
      </c>
      <c r="I12" s="17">
        <f>H12+366</f>
        <v>45819</v>
      </c>
      <c r="J12" s="19" t="str">
        <f t="shared" ref="J12:J16" ca="1" si="0">IF($F$5 &gt; I12,"Due", "")</f>
        <v>Due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22</v>
      </c>
      <c r="F13" s="16" t="s">
        <v>8</v>
      </c>
      <c r="G13" s="16" t="s">
        <v>10</v>
      </c>
      <c r="H13" s="17">
        <v>45453</v>
      </c>
      <c r="I13" s="17">
        <f t="shared" ref="I13:I16" si="1">H13+366</f>
        <v>45819</v>
      </c>
      <c r="J13" s="19" t="str">
        <f t="shared" ca="1" si="0"/>
        <v>Due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16" t="s">
        <v>23</v>
      </c>
      <c r="F14" s="16" t="s">
        <v>8</v>
      </c>
      <c r="G14" s="16" t="s">
        <v>10</v>
      </c>
      <c r="H14" s="17">
        <v>45453</v>
      </c>
      <c r="I14" s="17">
        <f t="shared" si="1"/>
        <v>45819</v>
      </c>
      <c r="J14" s="19" t="str">
        <f t="shared" ca="1" si="0"/>
        <v>Due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24</v>
      </c>
      <c r="F15" s="16" t="s">
        <v>8</v>
      </c>
      <c r="G15" s="16" t="s">
        <v>26</v>
      </c>
      <c r="H15" s="17">
        <v>38480</v>
      </c>
      <c r="I15" s="17">
        <f t="shared" si="1"/>
        <v>38846</v>
      </c>
      <c r="J15" s="19" t="str">
        <f t="shared" ca="1" si="0"/>
        <v>Due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 t="s">
        <v>25</v>
      </c>
      <c r="F16" s="16" t="s">
        <v>8</v>
      </c>
      <c r="G16" s="16" t="s">
        <v>26</v>
      </c>
      <c r="H16" s="17">
        <v>45453</v>
      </c>
      <c r="I16" s="17">
        <f t="shared" si="1"/>
        <v>45819</v>
      </c>
      <c r="J16" s="19" t="str">
        <f t="shared" ca="1" si="0"/>
        <v>Due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2A100BA7-B8CB-4D9C-B9DE-E6045E6C44E9}">
    <sortState xmlns:xlrd2="http://schemas.microsoft.com/office/spreadsheetml/2017/richdata2" ref="E11:S100">
      <sortCondition ref="E10:E100"/>
    </sortState>
  </autoFilter>
  <mergeCells count="3">
    <mergeCell ref="H4:J4"/>
    <mergeCell ref="N4:P4"/>
    <mergeCell ref="N5:P5"/>
  </mergeCells>
  <phoneticPr fontId="2" type="noConversion"/>
  <conditionalFormatting sqref="E11:S100">
    <cfRule type="expression" dxfId="5" priority="2">
      <formula>MOD(ROW(),2)=0</formula>
    </cfRule>
  </conditionalFormatting>
  <conditionalFormatting sqref="J1:J1048576">
    <cfRule type="cellIs" dxfId="4" priority="1" operator="equal">
      <formula>"Due"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273A3-D1AC-49AF-890F-227815ED6D5C}">
  <sheetPr codeName="Sheet3"/>
  <dimension ref="E4:S226"/>
  <sheetViews>
    <sheetView workbookViewId="0">
      <selection activeCell="E14" sqref="E14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41" t="s">
        <v>11</v>
      </c>
      <c r="I4" s="41"/>
      <c r="J4" s="41"/>
      <c r="K4" s="8" t="s">
        <v>12</v>
      </c>
      <c r="N4" s="42" t="s">
        <v>19</v>
      </c>
      <c r="O4" s="42"/>
      <c r="P4" s="42"/>
    </row>
    <row r="5" spans="5:19" x14ac:dyDescent="0.25">
      <c r="F5" s="3">
        <f ca="1">TODAY()</f>
        <v>46317</v>
      </c>
      <c r="H5"/>
      <c r="I5"/>
      <c r="J5" s="4"/>
      <c r="K5"/>
      <c r="N5" s="43">
        <f ca="1">COUNTIF(H:J, "Due")</f>
        <v>5</v>
      </c>
      <c r="O5" s="43"/>
      <c r="P5" s="43"/>
    </row>
    <row r="7" spans="5:19" x14ac:dyDescent="0.25">
      <c r="Q7" s="7"/>
    </row>
    <row r="9" spans="5:19" x14ac:dyDescent="0.25">
      <c r="F9" s="6"/>
    </row>
    <row r="10" spans="5:19" s="4" customFormat="1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13</v>
      </c>
      <c r="F11" s="16" t="s">
        <v>7</v>
      </c>
      <c r="G11" s="16" t="s">
        <v>5</v>
      </c>
      <c r="H11" s="17">
        <v>45453</v>
      </c>
      <c r="I11" s="17">
        <f>H11+366</f>
        <v>45819</v>
      </c>
      <c r="J11" s="19" t="str">
        <f ca="1">IF($F$5 &gt; I11,"Due", "")</f>
        <v>Due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29" t="s">
        <v>14</v>
      </c>
      <c r="F12" s="16" t="s">
        <v>7</v>
      </c>
      <c r="G12" s="16" t="s">
        <v>5</v>
      </c>
      <c r="H12" s="17">
        <v>44597</v>
      </c>
      <c r="I12" s="17">
        <f t="shared" ref="I12:I15" si="0">H12+366</f>
        <v>44963</v>
      </c>
      <c r="J12" s="19" t="str">
        <f t="shared" ref="J12:J15" ca="1" si="1">IF($F$5 &gt; I12,"Due", "")</f>
        <v>Due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15</v>
      </c>
      <c r="F13" s="16" t="s">
        <v>7</v>
      </c>
      <c r="G13" s="16" t="s">
        <v>5</v>
      </c>
      <c r="H13" s="17">
        <v>45453</v>
      </c>
      <c r="I13" s="17">
        <f t="shared" si="0"/>
        <v>45819</v>
      </c>
      <c r="J13" s="19" t="str">
        <f t="shared" ca="1" si="1"/>
        <v>Due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30" t="s">
        <v>16</v>
      </c>
      <c r="F14" s="16" t="s">
        <v>7</v>
      </c>
      <c r="G14" s="16" t="s">
        <v>6</v>
      </c>
      <c r="H14" s="17">
        <v>45453</v>
      </c>
      <c r="I14" s="17">
        <f t="shared" si="0"/>
        <v>45819</v>
      </c>
      <c r="J14" s="19" t="str">
        <f t="shared" ca="1" si="1"/>
        <v>Due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17</v>
      </c>
      <c r="F15" s="16" t="s">
        <v>7</v>
      </c>
      <c r="G15" s="16" t="s">
        <v>6</v>
      </c>
      <c r="H15" s="17">
        <v>45453</v>
      </c>
      <c r="I15" s="17">
        <f t="shared" si="0"/>
        <v>45819</v>
      </c>
      <c r="J15" s="19" t="str">
        <f t="shared" ca="1" si="1"/>
        <v>Due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/>
      <c r="F16" s="16"/>
      <c r="G16" s="16"/>
      <c r="H16" s="17"/>
      <c r="I16" s="17"/>
      <c r="J16" s="19"/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8B2273A3-D1AC-49AF-890F-227815ED6D5C}"/>
  <mergeCells count="3">
    <mergeCell ref="H4:J4"/>
    <mergeCell ref="N5:P5"/>
    <mergeCell ref="N4:P4"/>
  </mergeCells>
  <phoneticPr fontId="2" type="noConversion"/>
  <conditionalFormatting sqref="E11:S100">
    <cfRule type="expression" dxfId="3" priority="2">
      <formula>MOD(ROW(),2)=0</formula>
    </cfRule>
  </conditionalFormatting>
  <conditionalFormatting sqref="J1:J1048576">
    <cfRule type="cellIs" dxfId="2" priority="1" operator="equal">
      <formula>"Due"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Sign_Out_Log</vt:lpstr>
      <vt:lpstr>Tool_Checkout</vt:lpstr>
      <vt:lpstr>Crimpers</vt:lpstr>
      <vt:lpstr>Strippers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Elliot Mollman</cp:lastModifiedBy>
  <dcterms:created xsi:type="dcterms:W3CDTF">2024-06-04T02:53:23Z</dcterms:created>
  <dcterms:modified xsi:type="dcterms:W3CDTF">2026-10-23T04:11:47Z</dcterms:modified>
</cp:coreProperties>
</file>